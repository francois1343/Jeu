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abe1061d8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4cb77ce5b6b34840"/>
    <x:sheet xmlns:r="http://schemas.openxmlformats.org/officeDocument/2006/relationships" name="Dashboard" sheetId="2" r:id="Rdf6f14e850134ad8"/>
    <x:sheet xmlns:r="http://schemas.openxmlformats.org/officeDocument/2006/relationships" name="Parcours utilisateurs" sheetId="3" r:id="R0064771c773b4d5a"/>
    <x:sheet xmlns:r="http://schemas.openxmlformats.org/officeDocument/2006/relationships" name="Roadmap" sheetId="4" r:id="R3e54409f06e340e4"/>
    <x:sheet xmlns:r="http://schemas.openxmlformats.org/officeDocument/2006/relationships" name="Labels &amp; règles" sheetId="5" r:id="Ref9f9e1a6f6e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D114B"/>
      </x:patternFill>
    </x:fill>
    <x:fill>
      <x:patternFill patternType="solid">
        <x:fgColor rgb="FFEEE7F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0E0E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f302b0d2a47b4" /><Relationship Type="http://schemas.openxmlformats.org/officeDocument/2006/relationships/theme" Target="/xl/theme/theme1.xml" Id="R72807eed770f4f32" /><Relationship Type="http://schemas.openxmlformats.org/officeDocument/2006/relationships/sharedStrings" Target="/xl/sharedStrings.xml" Id="R7d9f6e769df24168" /><Relationship Type="http://schemas.openxmlformats.org/officeDocument/2006/relationships/worksheet" Target="/xl/worksheets/sheet1.xml" Id="R4cb77ce5b6b34840" /><Relationship Type="http://schemas.openxmlformats.org/officeDocument/2006/relationships/worksheet" Target="/xl/worksheets/sheet2.xml" Id="Rdf6f14e850134ad8" /><Relationship Type="http://schemas.openxmlformats.org/officeDocument/2006/relationships/worksheet" Target="/xl/worksheets/sheet3.xml" Id="R0064771c773b4d5a" /><Relationship Type="http://schemas.openxmlformats.org/officeDocument/2006/relationships/worksheet" Target="/xl/worksheets/sheet4.xml" Id="R3e54409f06e340e4" /><Relationship Type="http://schemas.openxmlformats.org/officeDocument/2006/relationships/worksheet" Target="/xl/worksheets/sheet5.xml" Id="Ref9f9e1a6f6e43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60f37842194fe7" /><Relationship Type="http://schemas.openxmlformats.org/officeDocument/2006/relationships/chart" Target="/xl/drawings/charts/chart2.xml" Id="R107a12c99cf34c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Répartition par priorité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Nombre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Répartition par statut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Nombre</c:v>
          </c:tx>
          <c:cat>
            <c:strRef>
              <c:f>'Dashboard'!$G$5:$G$9</c:f>
              <c:strCache>
                <c:ptCount val="0"/>
              </c:strCache>
            </c:strRef>
          </c:cat>
          <c:val>
            <c:numRef>
              <c:f>'Dashboard'!$H$5:$H$9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60f37842194fe7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7a12c99cf34c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I33" headerRowCount="1" totalsRowCount="0" totalsRowShown="0">
  <x:tableColumns count="9">
    <x:tableColumn id="1" name="ID"/>
    <x:tableColumn id="2" name="Catégorie"/>
    <x:tableColumn id="3" name="Carte / Sujet"/>
    <x:tableColumn id="4" name="Objectif"/>
    <x:tableColumn id="5" name="Priorité"/>
    <x:tableColumn id="6" name="Statut"/>
    <x:tableColumn id="7" name="Échéance"/>
    <x:tableColumn id="8" name="Checklist / Action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1:F12" headerRowCount="1" totalsRowCount="0" totalsRowShown="0">
  <x:tableColumns count="6">
    <x:tableColumn id="1" name="Horizon"/>
    <x:tableColumn id="2" name="Thème"/>
    <x:tableColumn id="3" name="Élément"/>
    <x:tableColumn id="4" name="Priorité"/>
    <x:tableColumn id="5" name="Dépend de"/>
    <x:tableColumn id="6" name="Résultat attend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50abf9deb046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f6c1e5ff31246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236efe6e8a4f8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34" hidden="0" customWidth="1"/>
    <x:col min="5" max="5" width="13" hidden="0" customWidth="1"/>
    <x:col min="6" max="6" width="14" hidden="0" customWidth="1"/>
    <x:col min="7" max="7" width="14" hidden="0" customWidth="1"/>
    <x:col min="8" max="8" width="48" hidden="0" customWidth="1"/>
    <x:col min="9" max="9" width="28" hidden="0" customWidth="1"/>
  </x:cols>
  <x:sheetData>
    <x:row r="1" ht="15" hidden="0" customHeight="1">
      <x:c r="A1" s="10" t="str">
        <x:v>ID</x:v>
      </x:c>
      <x:c r="B1" s="10" t="str">
        <x:v>Catégorie</x:v>
      </x:c>
      <x:c r="C1" s="10" t="str">
        <x:v>Carte / Sujet</x:v>
      </x:c>
      <x:c r="D1" s="10" t="str">
        <x:v>Objectif</x:v>
      </x:c>
      <x:c r="E1" s="10" t="str">
        <x:v>Priorité</x:v>
      </x:c>
      <x:c r="F1" s="10" t="str">
        <x:v>Statut</x:v>
      </x:c>
      <x:c r="G1" s="10" t="str">
        <x:v>Échéance</x:v>
      </x:c>
      <x:c r="H1" s="10" t="str">
        <x:v>Checklist / Actions</x:v>
      </x:c>
      <x:c r="I1" s="10" t="str">
        <x:v>Notes</x:v>
      </x:c>
    </x:row>
    <x:row r="2" ht="39.599998474121094" hidden="0" customHeight="1">
      <x:c r="A2" s="11" t="str">
        <x:v>UX-001</x:v>
      </x:c>
      <x:c r="B2" s="11" t="str">
        <x:v>UX/UI</x:v>
      </x:c>
      <x:c r="C2" s="11" t="str">
        <x:v>Audit UX/UI globale</x:v>
      </x:c>
      <x:c r="D2" s="11" t="str">
        <x:v>Vérifier si le site donne une impression réellement professionnelle.</x:v>
      </x:c>
      <x:c r="E2" s="11" t="str">
        <x:v>Important</x:v>
      </x:c>
      <x:c r="F2" s="11" t="str">
        <x:v>À faire</x:v>
      </x:c>
      <x:c r="G2" s="11" t="str"/>
      <x:c r="H2" s="11" t="str">
        <x:v>Navigation claire; Hiérarchie visuelle; Cohérence boutons; Menus/modales; Lisibilité; Surcharge visuelle; Couleurs; Cohérence index/jeux; Animations; Première impression</x:v>
      </x:c>
      <x:c r="I2" s="11" t="str"/>
    </x:row>
    <x:row r="3" ht="39.599998474121094" hidden="0" customHeight="1">
      <x:c r="A3" s="11" t="str">
        <x:v>RESP-001</x:v>
      </x:c>
      <x:c r="B3" s="11" t="str">
        <x:v>Responsive</x:v>
      </x:c>
      <x:c r="C3" s="11" t="str">
        <x:v>Desktop / Tablette / Mobile</x:v>
      </x:c>
      <x:c r="D3" s="11" t="str">
        <x:v>Garantir une expérience cohérente sur tous les écrans.</x:v>
      </x:c>
      <x:c r="E3" s="11" t="str">
        <x:v>Critique</x:v>
      </x:c>
      <x:c r="F3" s="11" t="str">
        <x:v>À faire</x:v>
      </x:c>
      <x:c r="G3" s="11" t="str"/>
      <x:c r="H3" s="11" t="str">
        <x:v>Desktop; Tablette; Smartphone; Portrait/paysage; Taille boutons; Zones tactiles; Scroll horizontal; Modales; Textes; Grilles; Menus mobiles</x:v>
      </x:c>
      <x:c r="I3" s="11" t="str"/>
    </x:row>
    <x:row r="4" ht="39.599998474121094" hidden="0" customHeight="1">
      <x:c r="A4" s="11" t="str">
        <x:v>ACC-001</x:v>
      </x:c>
      <x:c r="B4" s="11" t="str">
        <x:v>Accessibilité</x:v>
      </x:c>
      <x:c r="C4" s="11" t="str">
        <x:v>Accessibilité générale</x:v>
      </x:c>
      <x:c r="D4" s="11" t="str">
        <x:v>Rendre le site utilisable au clavier, lisible et accessible.</x:v>
      </x:c>
      <x:c r="E4" s="11" t="str">
        <x:v>Important</x:v>
      </x:c>
      <x:c r="F4" s="11" t="str">
        <x:v>À faire</x:v>
      </x:c>
      <x:c r="G4" s="11" t="str"/>
      <x:c r="H4" s="11" t="str">
        <x:v>Contraste; Focus clavier; Navigation clavier; Labels formulaires; Taille texte; États hover/focus/disabled; Utilisation sans son; Réduction animations</x:v>
      </x:c>
      <x:c r="I4" s="11" t="str"/>
    </x:row>
    <x:row r="5" ht="39.599998474121094" hidden="0" customHeight="1">
      <x:c r="A5" s="11" t="str">
        <x:v>PERF-001</x:v>
      </x:c>
      <x:c r="B5" s="11" t="str">
        <x:v>Performance</x:v>
      </x:c>
      <x:c r="C5" s="11" t="str">
        <x:v>Performance globale</x:v>
      </x:c>
      <x:c r="D5" s="11" t="str">
        <x:v>Réduire les lenteurs et les ressources inutiles.</x:v>
      </x:c>
      <x:c r="E5" s="11" t="str">
        <x:v>Important</x:v>
      </x:c>
      <x:c r="F5" s="11" t="str">
        <x:v>À faire</x:v>
      </x:c>
      <x:c r="G5" s="11" t="str"/>
      <x:c r="H5" s="11" t="str">
        <x:v>Poids images; Scripts inutiles; CSS dupliqué; Temps chargement; Animations coûteuses; Cache; Service Worker; PWA; Console; Ressources inutilisées</x:v>
      </x:c>
      <x:c r="I5" s="11" t="str"/>
    </x:row>
    <x:row r="6" ht="39.599998474121094" hidden="0" customHeight="1">
      <x:c r="A6" s="11" t="str">
        <x:v>ARCH-001</x:v>
      </x:c>
      <x:c r="B6" s="11" t="str">
        <x:v>Architecture</x:v>
      </x:c>
      <x:c r="C6" s="11" t="str">
        <x:v>HTML / CSS / JS</x:v>
      </x:c>
      <x:c r="D6" s="11" t="str">
        <x:v>Rendre le projet plus maintenable et cohérent.</x:v>
      </x:c>
      <x:c r="E6" s="11" t="str">
        <x:v>Important</x:v>
      </x:c>
      <x:c r="F6" s="11" t="str">
        <x:v>À faire</x:v>
      </x:c>
      <x:c r="G6" s="11" t="str"/>
      <x:c r="H6" s="11" t="str">
        <x:v>Structure dossiers; Séparation responsabilités; Gros fichiers; Code dupliqué; Fonctions réutilisables; Config centralisée; Chemins cassés; Imports; Assets obsolètes</x:v>
      </x:c>
      <x:c r="I6" s="11" t="str"/>
    </x:row>
    <x:row r="7" ht="39.599998474121094" hidden="0" customHeight="1">
      <x:c r="A7" s="11" t="str">
        <x:v>BUG-001</x:v>
      </x:c>
      <x:c r="B7" s="11" t="str">
        <x:v>Qualité</x:v>
      </x:c>
      <x:c r="C7" s="11" t="str">
        <x:v>Bugs bloquants</x:v>
      </x:c>
      <x:c r="D7" s="11" t="str">
        <x:v>Éliminer tout problème bloquant avant mise en ligne.</x:v>
      </x:c>
      <x:c r="E7" s="11" t="str">
        <x:v>Critique</x:v>
      </x:c>
      <x:c r="F7" s="11" t="str">
        <x:v>À faire</x:v>
      </x:c>
      <x:c r="G7" s="11" t="str"/>
      <x:c r="H7" s="11" t="str">
        <x:v>Erreurs JS; Console; Jeux impossibles à lancer; Navigation cassée; Boutons sans action; 404; Sauvegardes; Incohérences mobile/desktop</x:v>
      </x:c>
      <x:c r="I7" s="11" t="str"/>
    </x:row>
    <x:row r="8" ht="39.599998474121094" hidden="0" customHeight="1">
      <x:c r="A8" s="11" t="str">
        <x:v>GAME-001</x:v>
      </x:c>
      <x:c r="B8" s="11" t="str">
        <x:v>Jeux</x:v>
      </x:c>
      <x:c r="C8" s="11" t="str">
        <x:v>Gestion réelle des parties</x:v>
      </x:c>
      <x:c r="D8" s="11" t="str">
        <x:v>Distinguer proprement victoire, défaite et abandon.</x:v>
      </x:c>
      <x:c r="E8" s="11" t="str">
        <x:v>Critique</x:v>
      </x:c>
      <x:c r="F8" s="11" t="str">
        <x:v>À faire</x:v>
      </x:c>
      <x:c r="G8" s="11" t="str"/>
      <x:c r="H8" s="11" t="str">
        <x:v>created &gt; started &gt; won/lost/abandoned; Début réel; Victoire; Défaite; Abandon; Fermeture; Retour index; Refresh; Remboursement; Anti-triche</x:v>
      </x:c>
      <x:c r="I8" s="11" t="str"/>
    </x:row>
    <x:row r="9" ht="39.599998474121094" hidden="0" customHeight="1">
      <x:c r="A9" s="11" t="str">
        <x:v>COIN-001</x:v>
      </x:c>
      <x:c r="B9" s="11" t="str">
        <x:v>Coins</x:v>
      </x:c>
      <x:c r="C9" s="11" t="str">
        <x:v>Fiabilité du portefeuille Coins</x:v>
      </x:c>
      <x:c r="D9" s="11" t="str">
        <x:v>Garantir un solde cohérent dans tous les jeux.</x:v>
      </x:c>
      <x:c r="E9" s="11" t="str">
        <x:v>Critique</x:v>
      </x:c>
      <x:c r="F9" s="11" t="str">
        <x:v>À faire</x:v>
      </x:c>
      <x:c r="G9" s="11" t="str"/>
      <x:c r="H9" s="11" t="str">
        <x:v>Solde; Coût partie; Récompenses; Historique; Victoire/défaite; Abandon; Stockage local; Anti-modification; Config centralisée; Préparation serveur</x:v>
      </x:c>
      <x:c r="I9" s="11" t="str"/>
    </x:row>
    <x:row r="10" ht="39.599998474121094" hidden="0" customHeight="1">
      <x:c r="A10" s="11" t="str">
        <x:v>SEC-001</x:v>
      </x:c>
      <x:c r="B10" s="11" t="str">
        <x:v>Sécurité</x:v>
      </x:c>
      <x:c r="C10" s="11" t="str">
        <x:v>Sécurité avant production</x:v>
      </x:c>
      <x:c r="D10" s="11" t="str">
        <x:v>Éviter les fuites de clés et les entrées malveillantes.</x:v>
      </x:c>
      <x:c r="E10" s="11" t="str">
        <x:v>Critique</x:v>
      </x:c>
      <x:c r="F10" s="11" t="str">
        <x:v>À faire</x:v>
      </x:c>
      <x:c r="G10" s="11" t="str"/>
      <x:c r="H10" s="11" t="str">
        <x:v>Aucune Private Key frontend; EmailJS; Validation formulaires; Nettoyage entrées; Pseudo; Stockage local; Future auth; Règles Supabase</x:v>
      </x:c>
      <x:c r="I10" s="11" t="str"/>
    </x:row>
    <x:row r="11" ht="26.399999618530273" hidden="0" customHeight="1">
      <x:c r="A11" s="11" t="str">
        <x:v>CAT-001</x:v>
      </x:c>
      <x:c r="B11" s="11" t="str">
        <x:v>Catalogue</x:v>
      </x:c>
      <x:c r="C11" s="11" t="str">
        <x:v>Recherche / filtres / tri</x:v>
      </x:c>
      <x:c r="D11" s="11" t="str">
        <x:v>Faciliter la découverte des jeux.</x:v>
      </x:c>
      <x:c r="E11" s="11" t="str">
        <x:v>Important</x:v>
      </x:c>
      <x:c r="F11" s="11" t="str">
        <x:v>À faire</x:v>
      </x:c>
      <x:c r="G11" s="11" t="str"/>
      <x:c r="H11" s="11" t="str">
        <x:v>Recherche; Filtres; Catégories; Difficulté; Tri; Popularité; Jeux récents; Cartes lisibles; Retour arcade</x:v>
      </x:c>
      <x:c r="I11" s="11" t="str"/>
    </x:row>
    <x:row r="12" ht="39.599998474121094" hidden="0" customHeight="1">
      <x:c r="A12" s="11" t="str">
        <x:v>STAT-001</x:v>
      </x:c>
      <x:c r="B12" s="11" t="str">
        <x:v>Statistiques</x:v>
      </x:c>
      <x:c r="C12" s="11" t="str">
        <x:v>Statistiques par jeu et catégorie</x:v>
      </x:c>
      <x:c r="D12" s="11" t="str">
        <x:v>Mesurer usage, difficulté et engagement.</x:v>
      </x:c>
      <x:c r="E12" s="11" t="str">
        <x:v>Important</x:v>
      </x:c>
      <x:c r="F12" s="11" t="str">
        <x:v>À faire</x:v>
      </x:c>
      <x:c r="G12" s="11" t="str"/>
      <x:c r="H12" s="11" t="str">
        <x:v>Parties; Victoires; Défaites; Abandons; Taux réussite; Score moyen; Meilleur score; Temps moyen; Popularité; Difficulté observée</x:v>
      </x:c>
      <x:c r="I12" s="11" t="str"/>
    </x:row>
    <x:row r="13" ht="26.399999618530273" hidden="0" customHeight="1">
      <x:c r="A13" s="11" t="str">
        <x:v>LEAD-001</x:v>
      </x:c>
      <x:c r="B13" s="11" t="str">
        <x:v>Leaderboard</x:v>
      </x:c>
      <x:c r="C13" s="11" t="str">
        <x:v>Classements</x:v>
      </x:c>
      <x:c r="D13" s="11" t="str">
        <x:v>Ajouter des classements cohérents par jeu et globalement.</x:v>
      </x:c>
      <x:c r="E13" s="11" t="str">
        <x:v>Important</x:v>
      </x:c>
      <x:c r="F13" s="11" t="str">
        <x:v>À faire</x:v>
      </x:c>
      <x:c r="G13" s="11" t="str"/>
      <x:c r="H13" s="11" t="str">
        <x:v>Classement global; Par jeu; Meilleur score; Pseudo; Stats; Période; Modale; Mobile; Futur serveur</x:v>
      </x:c>
      <x:c r="I13" s="11" t="str"/>
    </x:row>
    <x:row r="14" ht="26.399999618530273" hidden="0" customHeight="1">
      <x:c r="A14" s="11" t="str">
        <x:v>SHOP-001</x:v>
      </x:c>
      <x:c r="B14" s="11" t="str">
        <x:v>Boutique</x:v>
      </x:c>
      <x:c r="C14" s="11" t="str">
        <x:v>Boutique Arcade</x:v>
      </x:c>
      <x:c r="D14" s="11" t="str">
        <x:v>Dépenser les Coins sans créer de pay-to-win.</x:v>
      </x:c>
      <x:c r="E14" s="11" t="str">
        <x:v>Important</x:v>
      </x:c>
      <x:c r="F14" s="11" t="str">
        <x:v>À faire</x:v>
      </x:c>
      <x:c r="G14" s="11" t="str"/>
      <x:c r="H14" s="11" t="str">
        <x:v>Thèmes; Skins; Avatars; Cadres; Effets; Sons; Badges; Prix; Solde; Inventaire; Anti-doublon; Équipement; Aperçu</x:v>
      </x:c>
      <x:c r="I14" s="11" t="str"/>
    </x:row>
    <x:row r="15" ht="39.599998474121094" hidden="0" customHeight="1">
      <x:c r="A15" s="11" t="str">
        <x:v>FEED-001</x:v>
      </x:c>
      <x:c r="B15" s="11" t="str">
        <x:v>Feedback</x:v>
      </x:c>
      <x:c r="C15" s="11" t="str">
        <x:v>Signalement / avis</x:v>
      </x:c>
      <x:c r="D15" s="11" t="str">
        <x:v>Collecter les bugs et suggestions utilisateurs.</x:v>
      </x:c>
      <x:c r="E15" s="11" t="str">
        <x:v>Important</x:v>
      </x:c>
      <x:c r="F15" s="11" t="str">
        <x:v>À faire</x:v>
      </x:c>
      <x:c r="G15" s="11" t="str"/>
      <x:c r="H15" s="11" t="str">
        <x:v>Pseudo; Type; Jeu; Urgence; Description; Email optionnel; Statuts Nouveau/À vérifier/En cours/Résolu; EmailJS; Stockage local</x:v>
      </x:c>
      <x:c r="I15" s="11" t="str"/>
    </x:row>
    <x:row r="16" ht="26.399999618530273" hidden="0" customHeight="1">
      <x:c r="A16" s="11" t="str">
        <x:v>HOME-001</x:v>
      </x:c>
      <x:c r="B16" s="11" t="str">
        <x:v>UX/UI</x:v>
      </x:c>
      <x:c r="C16" s="11" t="str">
        <x:v>Accueil / Index</x:v>
      </x:c>
      <x:c r="D16" s="11" t="str">
        <x:v>Clarifier l'entrée dans Francis Arcade.</x:v>
      </x:c>
      <x:c r="E16" s="11" t="str">
        <x:v>Important</x:v>
      </x:c>
      <x:c r="F16" s="11" t="str">
        <x:v>À faire</x:v>
      </x:c>
      <x:c r="G16" s="11" t="str"/>
      <x:c r="H16" s="11" t="str">
        <x:v>CTA; Recherche; Filtres; Coins; Profil; Boutique; Paramètres; Feedback; PWA; Cohérence néon; Responsive</x:v>
      </x:c>
      <x:c r="I16" s="11" t="str"/>
    </x:row>
    <x:row r="17" ht="15" hidden="0" customHeight="1">
      <x:c r="A17" s="11" t="str">
        <x:v>MENU-001</x:v>
      </x:c>
      <x:c r="B17" s="11" t="str">
        <x:v>Jeux</x:v>
      </x:c>
      <x:c r="C17" s="11" t="str">
        <x:v>Standardiser les menus de jeux</x:v>
      </x:c>
      <x:c r="D17" s="11" t="str">
        <x:v>Créer une structure cohérente entre les jeux.</x:v>
      </x:c>
      <x:c r="E17" s="11" t="str">
        <x:v>Confort</x:v>
      </x:c>
      <x:c r="F17" s="11" t="str">
        <x:v>À faire</x:v>
      </x:c>
      <x:c r="G17" s="11" t="str"/>
      <x:c r="H17" s="11" t="str">
        <x:v>Jouer; Leaderboard; Paramètres; Règles; Retour Arcade</x:v>
      </x:c>
      <x:c r="I17" s="11" t="str"/>
    </x:row>
    <x:row r="18" ht="26.399999618530273" hidden="0" customHeight="1">
      <x:c r="A18" s="11" t="str">
        <x:v>SET-001</x:v>
      </x:c>
      <x:c r="B18" s="11" t="str">
        <x:v>Paramètres</x:v>
      </x:c>
      <x:c r="C18" s="11" t="str">
        <x:v>Paramètres utilisateurs</x:v>
      </x:c>
      <x:c r="D18" s="11" t="str">
        <x:v>Centraliser les préférences d'expérience.</x:v>
      </x:c>
      <x:c r="E18" s="11" t="str">
        <x:v>Confort</x:v>
      </x:c>
      <x:c r="F18" s="11" t="str">
        <x:v>À faire</x:v>
      </x:c>
      <x:c r="G18" s="11" t="str"/>
      <x:c r="H18" s="11" t="str">
        <x:v>Son; Musique; Vibration; Volume; Animations; Thème; Réinitialisation</x:v>
      </x:c>
      <x:c r="I18" s="11" t="str"/>
    </x:row>
    <x:row r="19" ht="26.399999618530273" hidden="0" customHeight="1">
      <x:c r="A19" s="11" t="str">
        <x:v>STATE-001</x:v>
      </x:c>
      <x:c r="B19" s="11" t="str">
        <x:v>UX/UI</x:v>
      </x:c>
      <x:c r="C19" s="11" t="str">
        <x:v>États visuels</x:v>
      </x:c>
      <x:c r="D19" s="11" t="str">
        <x:v>Uniformiser les réactions de l'interface.</x:v>
      </x:c>
      <x:c r="E19" s="11" t="str">
        <x:v>Confort</x:v>
      </x:c>
      <x:c r="F19" s="11" t="str">
        <x:v>À faire</x:v>
      </x:c>
      <x:c r="G19" s="11" t="str"/>
      <x:c r="H19" s="11" t="str">
        <x:v>Hover; Focus; Active; Disabled; Loading; Succès; Erreur; Verrouillé; Acheté; Équipé</x:v>
      </x:c>
      <x:c r="I19" s="11" t="str"/>
    </x:row>
    <x:row r="20" ht="39.599998474121094" hidden="0" customHeight="1">
      <x:c r="A20" s="11" t="str">
        <x:v>MOB-001</x:v>
      </x:c>
      <x:c r="B20" s="11" t="str">
        <x:v>Mobile</x:v>
      </x:c>
      <x:c r="C20" s="11" t="str">
        <x:v>Expérience mobile</x:v>
      </x:c>
      <x:c r="D20" s="11" t="str">
        <x:v>Rendre les jeux réellement agréables au tactile.</x:v>
      </x:c>
      <x:c r="E20" s="11" t="str">
        <x:v>Critique</x:v>
      </x:c>
      <x:c r="F20" s="11" t="str">
        <x:v>À faire</x:v>
      </x:c>
      <x:c r="G20" s="11" t="str"/>
      <x:c r="H20" s="11" t="str">
        <x:v>Commandes tactiles; Gros boutons; Pas de hover indispensable; Modales; Clavier virtuel; Scroll; Petits écrans; Orientation; Vibration</x:v>
      </x:c>
      <x:c r="I20" s="11" t="str"/>
    </x:row>
    <x:row r="21" ht="26.399999618530273" hidden="0" customHeight="1">
      <x:c r="A21" s="11" t="str">
        <x:v>PWA-001</x:v>
      </x:c>
      <x:c r="B21" s="11" t="str">
        <x:v>PWA</x:v>
      </x:c>
      <x:c r="C21" s="11" t="str">
        <x:v>Installation PWA</x:v>
      </x:c>
      <x:c r="D21" s="11" t="str">
        <x:v>Fiabiliser l'installation desktop et mobile.</x:v>
      </x:c>
      <x:c r="E21" s="11" t="str">
        <x:v>Important</x:v>
      </x:c>
      <x:c r="F21" s="11" t="str">
        <x:v>À faire</x:v>
      </x:c>
      <x:c r="G21" s="11" t="str"/>
      <x:c r="H21" s="11" t="str">
        <x:v>Manifest; Favicon; Icônes 192/512; Maskable; Service Worker; Cache; Standalone; PC; Android; iOS</x:v>
      </x:c>
      <x:c r="I21" s="11" t="str"/>
    </x:row>
    <x:row r="22" ht="26.399999618530273" hidden="0" customHeight="1">
      <x:c r="A22" s="11" t="str">
        <x:v>PWA-002</x:v>
      </x:c>
      <x:c r="B22" s="11" t="str">
        <x:v>PWA</x:v>
      </x:c>
      <x:c r="C22" s="11" t="str">
        <x:v>Proposition d'installation</x:v>
      </x:c>
      <x:c r="D22" s="11" t="str">
        <x:v>Ne pas harceler l'utilisateur.</x:v>
      </x:c>
      <x:c r="E22" s="11" t="str">
        <x:v>Confort</x:v>
      </x:c>
      <x:c r="F22" s="11" t="str">
        <x:v>À faire</x:v>
      </x:c>
      <x:c r="G22" s="11" t="str"/>
      <x:c r="H22" s="11" t="str">
        <x:v>Ne pas afficher immédiatement; Installer; Plus tard; Mémoriser refus; Délai; Augmenter délai; Ne plus proposer si installée</x:v>
      </x:c>
      <x:c r="I22" s="11" t="str"/>
    </x:row>
    <x:row r="23" ht="26.399999618530273" hidden="0" customHeight="1">
      <x:c r="A23" s="11" t="str">
        <x:v>PROF-001</x:v>
      </x:c>
      <x:c r="B23" s="11" t="str">
        <x:v>Comptes</x:v>
      </x:c>
      <x:c r="C23" s="11" t="str">
        <x:v>Profil fictif actuel</x:v>
      </x:c>
      <x:c r="D23" s="11" t="str">
        <x:v>Structurer le profil local avant l'auth complète.</x:v>
      </x:c>
      <x:c r="E23" s="11" t="str">
        <x:v>Important</x:v>
      </x:c>
      <x:c r="F23" s="11" t="str">
        <x:v>À faire</x:v>
      </x:c>
      <x:c r="G23" s="11" t="str"/>
      <x:c r="H23" s="11" t="str">
        <x:v>Pseudo; Coins; Inventaire; Stats; Paramètres; Historique; LocalStorage</x:v>
      </x:c>
      <x:c r="I23" s="11" t="str"/>
    </x:row>
    <x:row r="24" ht="26.399999618530273" hidden="0" customHeight="1">
      <x:c r="A24" s="11" t="str">
        <x:v>AUTH-001</x:v>
      </x:c>
      <x:c r="B24" s="11" t="str">
        <x:v>Comptes</x:v>
      </x:c>
      <x:c r="C24" s="11" t="str">
        <x:v>Futur compte utilisateur</x:v>
      </x:c>
      <x:c r="D24" s="11" t="str">
        <x:v>Préparer une authentification sérieuse.</x:v>
      </x:c>
      <x:c r="E24" s="11" t="str">
        <x:v>Future</x:v>
      </x:c>
      <x:c r="F24" s="11" t="str">
        <x:v>Backlog</x:v>
      </x:c>
      <x:c r="G24" s="11" t="str"/>
      <x:c r="H24" s="11" t="str">
        <x:v>Inscription; Connexion; Synchronisation; Récupération profil; Multi-appareils; Stats globales; Inventaire serveur; Sécurité</x:v>
      </x:c>
      <x:c r="I24" s="11" t="str"/>
    </x:row>
    <x:row r="25" ht="26.399999618530273" hidden="0" customHeight="1">
      <x:c r="A25" s="11" t="str">
        <x:v>ADS-001</x:v>
      </x:c>
      <x:c r="B25" s="11" t="str">
        <x:v>Monétisation</x:v>
      </x:c>
      <x:c r="C25" s="11" t="str">
        <x:v>Rewarded Ads</x:v>
      </x:c>
      <x:c r="D25" s="11" t="str">
        <x:v>Permettre de gagner des Coins sans paywall.</x:v>
      </x:c>
      <x:c r="E25" s="11" t="str">
        <x:v>Future</x:v>
      </x:c>
      <x:c r="F25" s="11" t="str">
        <x:v>Backlog</x:v>
      </x:c>
      <x:c r="G25" s="11" t="str"/>
      <x:c r="H25" s="11" t="str">
        <x:v>Facultatif; Récompense claire; Limite quotidienne; Validation pub; Anti-farming; Économie équilibrée</x:v>
      </x:c>
      <x:c r="I25" s="11" t="str"/>
    </x:row>
    <x:row r="26" ht="26.399999618530273" hidden="0" customHeight="1">
      <x:c r="A26" s="11" t="str">
        <x:v>PAY-001</x:v>
      </x:c>
      <x:c r="B26" s="11" t="str">
        <x:v>Monétisation</x:v>
      </x:c>
      <x:c r="C26" s="11" t="str">
        <x:v>PayPal / Soutien</x:v>
      </x:c>
      <x:c r="D26" s="11" t="str">
        <x:v>Ajouter un soutien volontaire séparé des Coins.</x:v>
      </x:c>
      <x:c r="E26" s="11" t="str">
        <x:v>Future</x:v>
      </x:c>
      <x:c r="F26" s="11" t="str">
        <x:v>Backlog</x:v>
      </x:c>
      <x:c r="G26" s="11" t="str"/>
      <x:c r="H26" s="11" t="str">
        <x:v>Bouton Faire un don; Section Soutenir le projet; Interface discrète; Aucune obligation</x:v>
      </x:c>
      <x:c r="I26" s="11" t="str"/>
    </x:row>
    <x:row r="27" ht="26.399999618530273" hidden="0" customHeight="1">
      <x:c r="A27" s="11" t="str">
        <x:v>ECO-001</x:v>
      </x:c>
      <x:c r="B27" s="11" t="str">
        <x:v>Économie</x:v>
      </x:c>
      <x:c r="C27" s="11" t="str">
        <x:v>Équilibrage Coins</x:v>
      </x:c>
      <x:c r="D27" s="11" t="str">
        <x:v>Créer une boucle rentable et agréable.</x:v>
      </x:c>
      <x:c r="E27" s="11" t="str">
        <x:v>Important</x:v>
      </x:c>
      <x:c r="F27" s="11" t="str">
        <x:v>À faire</x:v>
      </x:c>
      <x:c r="G27" s="11" t="str"/>
      <x:c r="H27" s="11" t="str">
        <x:v>Coins départ; Coût partie; Récompense victoire; Perte défaite; Récompense pub; Bonus quotidien; Prix boutique</x:v>
      </x:c>
      <x:c r="I27" s="11" t="str"/>
    </x:row>
    <x:row r="28" ht="26.399999618530273" hidden="0" customHeight="1">
      <x:c r="A28" s="11" t="str">
        <x:v>NOTIF-001</x:v>
      </x:c>
      <x:c r="B28" s="11" t="str">
        <x:v>Confort</x:v>
      </x:c>
      <x:c r="C28" s="11" t="str">
        <x:v>Notifications</x:v>
      </x:c>
      <x:c r="D28" s="11" t="str">
        <x:v>Donner un feedback clair sans surcharge.</x:v>
      </x:c>
      <x:c r="E28" s="11" t="str">
        <x:v>Confort</x:v>
      </x:c>
      <x:c r="F28" s="11" t="str">
        <x:v>Backlog</x:v>
      </x:c>
      <x:c r="G28" s="11" t="str"/>
      <x:c r="H28" s="11" t="str">
        <x:v>Achat réussi; Coins gagnés; Record; Succès; Erreur; Installation; Feedback envoyé</x:v>
      </x:c>
      <x:c r="I28" s="11" t="str"/>
    </x:row>
    <x:row r="29" ht="26.399999618530273" hidden="0" customHeight="1">
      <x:c r="A29" s="11" t="str">
        <x:v>PROG-001</x:v>
      </x:c>
      <x:c r="B29" s="11" t="str">
        <x:v>Progression</x:v>
      </x:c>
      <x:c r="C29" s="11" t="str">
        <x:v>Progression joueur</x:v>
      </x:c>
      <x:c r="D29" s="11" t="str">
        <x:v>Créer de la rétention sans pay-to-win.</x:v>
      </x:c>
      <x:c r="E29" s="11" t="str">
        <x:v>Future</x:v>
      </x:c>
      <x:c r="F29" s="11" t="str">
        <x:v>Backlog</x:v>
      </x:c>
      <x:c r="G29" s="11" t="str"/>
      <x:c r="H29" s="11" t="str">
        <x:v>Niveau; XP; Badges; Succès; Séries de victoires; Défis quotidiens; Stats personnelles</x:v>
      </x:c>
      <x:c r="I29" s="11" t="str"/>
    </x:row>
    <x:row r="30" ht="26.399999618530273" hidden="0" customHeight="1">
      <x:c r="A30" s="11" t="str">
        <x:v>DISC-001</x:v>
      </x:c>
      <x:c r="B30" s="11" t="str">
        <x:v>Découverte</x:v>
      </x:c>
      <x:c r="C30" s="11" t="str">
        <x:v>Découverte de jeux</x:v>
      </x:c>
      <x:c r="D30" s="11" t="str">
        <x:v>Aider l'utilisateur à choisir rapidement.</x:v>
      </x:c>
      <x:c r="E30" s="11" t="str">
        <x:v>Confort</x:v>
      </x:c>
      <x:c r="F30" s="11" t="str">
        <x:v>Backlog</x:v>
      </x:c>
      <x:c r="G30" s="11" t="str"/>
      <x:c r="H30" s="11" t="str">
        <x:v>Recommandé; Jeu aléatoire; Tendance; Nouveau; Difficile; Rapide; Je ne sais pas quoi jouer</x:v>
      </x:c>
      <x:c r="I30" s="11" t="str"/>
    </x:row>
    <x:row r="31" ht="26.399999618530273" hidden="0" customHeight="1">
      <x:c r="A31" s="11" t="str">
        <x:v>ADMIN-001</x:v>
      </x:c>
      <x:c r="B31" s="11" t="str">
        <x:v>Admin</x:v>
      </x:c>
      <x:c r="C31" s="11" t="str">
        <x:v>Espace administrateur</x:v>
      </x:c>
      <x:c r="D31" s="11" t="str">
        <x:v>Centraliser supervision et retours.</x:v>
      </x:c>
      <x:c r="E31" s="11" t="str">
        <x:v>Future</x:v>
      </x:c>
      <x:c r="F31" s="11" t="str">
        <x:v>Backlog</x:v>
      </x:c>
      <x:c r="G31" s="11" t="str"/>
      <x:c r="H31" s="11" t="str">
        <x:v>Joueurs; Stats; Bugs; Feedback; Jeux; Coins; Boutique; Popularité; Abandons; Erreurs</x:v>
      </x:c>
      <x:c r="I31" s="11" t="str"/>
    </x:row>
    <x:row r="32" ht="26.399999618530273" hidden="0" customHeight="1">
      <x:c r="A32" s="11" t="str">
        <x:v>SUPA-001</x:v>
      </x:c>
      <x:c r="B32" s="11" t="str">
        <x:v>Backend</x:v>
      </x:c>
      <x:c r="C32" s="11" t="str">
        <x:v>Synchronisation Supabase</x:v>
      </x:c>
      <x:c r="D32" s="11" t="str">
        <x:v>Passer progressivement du local au serveur.</x:v>
      </x:c>
      <x:c r="E32" s="11" t="str">
        <x:v>Future</x:v>
      </x:c>
      <x:c r="F32" s="11" t="str">
        <x:v>Backlog</x:v>
      </x:c>
      <x:c r="G32" s="11" t="str"/>
      <x:c r="H32" s="11" t="str">
        <x:v>Auth; Profils; Coins; Transactions; Scores; Stats; Feedback; Boutique; Inventaire</x:v>
      </x:c>
      <x:c r="I32" s="11" t="str"/>
    </x:row>
    <x:row r="33" ht="26.399999618530273" hidden="0" customHeight="1">
      <x:c r="A33" s="11" t="str">
        <x:v>FUT-001</x:v>
      </x:c>
      <x:c r="B33" s="11" t="str">
        <x:v>Roadmap</x:v>
      </x:c>
      <x:c r="C33" s="11" t="str">
        <x:v>Nouveaux systèmes</x:v>
      </x:c>
      <x:c r="D33" s="11" t="str">
        <x:v>Préparer les versions futures.</x:v>
      </x:c>
      <x:c r="E33" s="11" t="str">
        <x:v>Future</x:v>
      </x:c>
      <x:c r="F33" s="11" t="str">
        <x:v>Backlog</x:v>
      </x:c>
      <x:c r="G33" s="11" t="str"/>
      <x:c r="H33" s="11" t="str">
        <x:v>Défis; Tournois; Événements; Récompenses quotidiennes; Classements saisonniers; Collections; Nouveaux jeux</x:v>
      </x:c>
      <x:c r="I33" s="11" t="str"/>
    </x:row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E2:E33">
    <x:cfRule type="expression" dxfId="0" priority="1">
      <x:formula>E2="Critique"</x:formula>
    </x:cfRule>
    <x:cfRule type="expression" dxfId="1" priority="2">
      <x:formula>E2="Important"</x:formula>
    </x:cfRule>
    <x:cfRule type="expression" dxfId="2" priority="3">
      <x:formula>E2="Confort"</x:formula>
    </x:cfRule>
    <x:cfRule type="expression" dxfId="3" priority="4">
      <x:formula>E2="Future"</x:formula>
    </x:cfRule>
  </x:conditionalFormatting>
  <x:conditionalFormatting sqref="F2:F33">
    <x:cfRule type="expression" dxfId="4" priority="5">
      <x:formula>F2="Terminé"</x:formula>
    </x:cfRule>
    <x:cfRule type="expression" dxfId="5" priority="6">
      <x:formula>F2="En cours"</x:formula>
    </x:cfRule>
    <x:cfRule type="expression" dxfId="6" priority="7">
      <x:formula>F2="Bloqué"</x:formula>
    </x:cfRule>
  </x:conditionalFormatting>
  <x:dataValidations count="2">
    <x:dataValidation type="list" sqref="E2:E33">
      <x:formula1>"Critique,Important,Confort,Future"</x:formula1>
    </x:dataValidation>
    <x:dataValidation type="list" sqref="F2:F33">
      <x:formula1>"À faire,En cours,Bloqué,Terminé,Backlog"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50abf9deb046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</x:cols>
  <x:sheetData>
    <x:row r="1">
      <x:c r="A1" s="16" t="str">
        <x:v>FRANCIS ARCADE — PILOTAGE PROJET</x:v>
      </x:c>
      <x:c r="B1" s="16"/>
      <x:c r="C1" s="16"/>
      <x:c r="D1" s="16"/>
      <x:c r="E1" s="16"/>
      <x:c r="F1" s="16"/>
      <x:c r="G1" s="16"/>
      <x:c r="H1" s="16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/>
    <x:row r="4" ht="15" hidden="0" customHeight="1">
      <x:c r="A4" s="10" t="str">
        <x:v>KPI</x:v>
      </x:c>
      <x:c r="B4" s="10" t="str">
        <x:v>Valeur</x:v>
      </x:c>
      <x:c r="C4" s="11"/>
      <x:c r="D4" s="10" t="str">
        <x:v>Priorité</x:v>
      </x:c>
      <x:c r="E4" s="10" t="str">
        <x:v>Nombre</x:v>
      </x:c>
      <x:c r="F4" s="11"/>
      <x:c r="G4" s="10" t="str">
        <x:v>Statut</x:v>
      </x:c>
      <x:c r="H4" s="10" t="str">
        <x:v>Nombre</x:v>
      </x:c>
    </x:row>
    <x:row r="5" ht="15" hidden="0" customHeight="1">
      <x:c r="A5" s="11" t="str">
        <x:v>Total cartes</x:v>
      </x:c>
      <x:c r="B5" s="11" t="n">
        <x:f>COUNTA(Backlog!A2:A33)</x:f>
        <x:v>32</x:v>
      </x:c>
      <x:c r="C5" s="11"/>
      <x:c r="D5" s="11" t="str">
        <x:v>Critique</x:v>
      </x:c>
      <x:c r="E5" s="11" t="n">
        <x:f>COUNTIF(Backlog!E2:E33,"Critique")</x:f>
        <x:v>6</x:v>
      </x:c>
      <x:c r="F5" s="11"/>
      <x:c r="G5" s="11" t="str">
        <x:v>À faire</x:v>
      </x:c>
      <x:c r="H5" s="11" t="n">
        <x:f>COUNTIF(Backlog!F2:F33,"À faire")</x:f>
        <x:v>23</x:v>
      </x:c>
    </x:row>
    <x:row r="6" ht="15" hidden="0" customHeight="1">
      <x:c r="A6" s="11" t="str">
        <x:v>Critiques</x:v>
      </x:c>
      <x:c r="B6" s="11" t="n">
        <x:f>COUNTIF(Backlog!E2:E33,"Critique")</x:f>
        <x:v>6</x:v>
      </x:c>
      <x:c r="C6" s="11"/>
      <x:c r="D6" s="11" t="str">
        <x:v>Important</x:v>
      </x:c>
      <x:c r="E6" s="11" t="n">
        <x:f>COUNTIF(Backlog!E2:E33,"Important")</x:f>
        <x:v>13</x:v>
      </x:c>
      <x:c r="F6" s="11"/>
      <x:c r="G6" s="11" t="str">
        <x:v>En cours</x:v>
      </x:c>
      <x:c r="H6" s="11" t="n">
        <x:f>COUNTIF(Backlog!F2:F33,"En cours")</x:f>
        <x:v>0</x:v>
      </x:c>
    </x:row>
    <x:row r="7" ht="15" hidden="0" customHeight="1">
      <x:c r="A7" s="11" t="str">
        <x:v>Importantes</x:v>
      </x:c>
      <x:c r="B7" s="11" t="n">
        <x:f>COUNTIF(Backlog!E2:E33,"Important")</x:f>
        <x:v>13</x:v>
      </x:c>
      <x:c r="C7" s="11"/>
      <x:c r="D7" s="11" t="str">
        <x:v>Confort</x:v>
      </x:c>
      <x:c r="E7" s="11" t="n">
        <x:f>COUNTIF(Backlog!E2:E33,"Confort")</x:f>
        <x:v>6</x:v>
      </x:c>
      <x:c r="F7" s="11"/>
      <x:c r="G7" s="11" t="str">
        <x:v>Bloqué</x:v>
      </x:c>
      <x:c r="H7" s="11" t="n">
        <x:f>COUNTIF(Backlog!F2:F33,"Bloqué")</x:f>
        <x:v>0</x:v>
      </x:c>
    </x:row>
    <x:row r="8" ht="15" hidden="0" customHeight="1">
      <x:c r="A8" s="11" t="str">
        <x:v>Terminées</x:v>
      </x:c>
      <x:c r="B8" s="11" t="n">
        <x:f>COUNTIF(Backlog!F2:F33,"Terminé")</x:f>
        <x:v>0</x:v>
      </x:c>
      <x:c r="C8" s="11"/>
      <x:c r="D8" s="11" t="str">
        <x:v>Future</x:v>
      </x:c>
      <x:c r="E8" s="11" t="n">
        <x:f>COUNTIF(Backlog!E2:E33,"Future")</x:f>
        <x:v>7</x:v>
      </x:c>
      <x:c r="F8" s="11"/>
      <x:c r="G8" s="11" t="str">
        <x:v>Terminé</x:v>
      </x:c>
      <x:c r="H8" s="11" t="n">
        <x:f>COUNTIF(Backlog!F2:F33,"Terminé")</x:f>
        <x:v>0</x:v>
      </x:c>
    </x:row>
    <x:row r="9" ht="15" hidden="0" customHeight="1">
      <x:c r="A9" s="11"/>
      <x:c r="B9" s="11"/>
      <x:c r="C9" s="11"/>
      <x:c r="D9" s="11" t="str">
        <x:v>Total</x:v>
      </x:c>
      <x:c r="E9" s="11" t="n">
        <x:f>SUM(E5:E8)</x:f>
        <x:v>32</x:v>
      </x:c>
      <x:c r="F9" s="11"/>
      <x:c r="G9" s="11" t="str">
        <x:v>Backlog</x:v>
      </x:c>
      <x:c r="H9" s="11" t="n">
        <x:f>COUNTIF(Backlog!F2:F33,"Backlog")</x:f>
        <x:v>9</x:v>
      </x:c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>
      <x:c r="A29" s="24" t="str">
        <x:v>Objectif général : faire évoluer Francis Arcade d’un ensemble de mini-jeux vers une plateforme arcade qualitative, cohérente, responsive, ludique, maintenable et évolutive.</x:v>
      </x:c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2"/>
    <x:mergeCell ref="A29:H32"/>
  </x:mergeCells>
  <x:pageMargins left="0.7" right="0.7" top="0.75" bottom="0.75" header="0.3" footer="0.3"/>
  <x:drawing xmlns:r="http://schemas.openxmlformats.org/officeDocument/2006/relationships" r:id="R2f6c1e5ff31246e4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 ht="15" hidden="0" customHeight="1">
      <x:c r="A1" s="10" t="str">
        <x:v>Parcours</x:v>
      </x:c>
      <x:c r="B1" s="10" t="str">
        <x:v>Étape 1</x:v>
      </x:c>
      <x:c r="C1" s="10" t="str">
        <x:v>Étape 2</x:v>
      </x:c>
      <x:c r="D1" s="10" t="str">
        <x:v>Étape 3</x:v>
      </x:c>
      <x:c r="E1" s="10" t="str">
        <x:v>Étape 4</x:v>
      </x:c>
      <x:c r="F1" s="10" t="str">
        <x:v>Objectif UX</x:v>
      </x:c>
    </x:row>
    <x:row r="2" ht="26.399999618530273" hidden="0" customHeight="1">
      <x:c r="A2" s="11" t="str">
        <x:v>Nouveau joueur</x:v>
      </x:c>
      <x:c r="B2" s="11" t="str">
        <x:v>Arrivée</x:v>
      </x:c>
      <x:c r="C2" s="11" t="str">
        <x:v>Choisir un pseudo</x:v>
      </x:c>
      <x:c r="D2" s="11" t="str">
        <x:v>Trouver un jeu</x:v>
      </x:c>
      <x:c r="E2" s="11" t="str">
        <x:v>Jouer</x:v>
      </x:c>
      <x:c r="F2" s="11" t="str">
        <x:v>Chaque étape doit être évidente sans explication externe.</x:v>
      </x:c>
    </x:row>
    <x:row r="3" ht="15" hidden="0" customHeight="1">
      <x:c r="A3" s="11" t="str">
        <x:v>Joueur régulier</x:v>
      </x:c>
      <x:c r="B3" s="11" t="str">
        <x:v>Retour</x:v>
      </x:c>
      <x:c r="C3" s="11" t="str">
        <x:v>Voir Coins / profil</x:v>
      </x:c>
      <x:c r="D3" s="11" t="str">
        <x:v>Choisir un jeu</x:v>
      </x:c>
      <x:c r="E3" s="11" t="str">
        <x:v>Jouer rapidement</x:v>
      </x:c>
      <x:c r="F3" s="11" t="str">
        <x:v>Réduire les clics et accélérer l'accès au jeu.</x:v>
      </x:c>
    </x:row>
    <x:row r="4" ht="15" hidden="0" customHeight="1">
      <x:c r="A4" s="11" t="str">
        <x:v>Joueur mobile</x:v>
      </x:c>
      <x:c r="B4" s="11" t="str">
        <x:v>Site / PWA</x:v>
      </x:c>
      <x:c r="C4" s="11" t="str">
        <x:v>Installation éventuelle</x:v>
      </x:c>
      <x:c r="D4" s="11" t="str">
        <x:v>Jeu tactile</x:v>
      </x:c>
      <x:c r="E4" s="11" t="str">
        <x:v>Retour arcade</x:v>
      </x:c>
      <x:c r="F4" s="11" t="str">
        <x:v>Aucune friction liée au tactile, au scroll ou aux modales.</x:v>
      </x:c>
    </x:row>
    <x:row r="5" ht="15" hidden="0" customHeight="1">
      <x:c r="A5" s="11" t="str">
        <x:v>Joueur sans Coins</x:v>
      </x:c>
      <x:c r="B5" s="11" t="str">
        <x:v>Solde à 0</x:v>
      </x:c>
      <x:c r="C5" s="11" t="str">
        <x:v>Comprendre pourquoi</x:v>
      </x:c>
      <x:c r="D5" s="11" t="str">
        <x:v>Récupérer des Coins</x:v>
      </x:c>
      <x:c r="E5" s="11" t="str">
        <x:v>Rejouer</x:v>
      </x:c>
      <x:c r="F5" s="11" t="str">
        <x:v>Éviter la sensation de blocage ou de paywall agressif.</x:v>
      </x:c>
    </x:row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4" hidden="0" customWidth="1"/>
    <x:col min="5" max="5" width="26" hidden="0" customWidth="1"/>
    <x:col min="6" max="6" width="38" hidden="0" customWidth="1"/>
  </x:cols>
  <x:sheetData>
    <x:row r="1" ht="15" hidden="0" customHeight="1">
      <x:c r="A1" s="10" t="str">
        <x:v>Horizon</x:v>
      </x:c>
      <x:c r="B1" s="10" t="str">
        <x:v>Thème</x:v>
      </x:c>
      <x:c r="C1" s="10" t="str">
        <x:v>Élément</x:v>
      </x:c>
      <x:c r="D1" s="10" t="str">
        <x:v>Priorité</x:v>
      </x:c>
      <x:c r="E1" s="10" t="str">
        <x:v>Dépend de</x:v>
      </x:c>
      <x:c r="F1" s="10" t="str">
        <x:v>Résultat attendu</x:v>
      </x:c>
    </x:row>
    <x:row r="2" ht="15" hidden="0" customHeight="1">
      <x:c r="A2" s="11" t="str">
        <x:v>Avant mise en ligne</x:v>
      </x:c>
      <x:c r="B2" s="11" t="str">
        <x:v>Qualité</x:v>
      </x:c>
      <x:c r="C2" s="11" t="str">
        <x:v>Audit bugs bloquants</x:v>
      </x:c>
      <x:c r="D2" s="11" t="str">
        <x:v>Critique</x:v>
      </x:c>
      <x:c r="E2" s="11" t="str">
        <x:v>—</x:v>
      </x:c>
      <x:c r="F2" s="11" t="str">
        <x:v>Site stable sans erreurs majeures</x:v>
      </x:c>
    </x:row>
    <x:row r="3" ht="15" hidden="0" customHeight="1">
      <x:c r="A3" s="11" t="str">
        <x:v>Avant mise en ligne</x:v>
      </x:c>
      <x:c r="B3" s="11" t="str">
        <x:v>Mobile</x:v>
      </x:c>
      <x:c r="C3" s="11" t="str">
        <x:v>Responsive + tactile</x:v>
      </x:c>
      <x:c r="D3" s="11" t="str">
        <x:v>Critique</x:v>
      </x:c>
      <x:c r="E3" s="11" t="str">
        <x:v>Audit UX/UI</x:v>
      </x:c>
      <x:c r="F3" s="11" t="str">
        <x:v>Expérience mobile réellement jouable</x:v>
      </x:c>
    </x:row>
    <x:row r="4" ht="15" hidden="0" customHeight="1">
      <x:c r="A4" s="11" t="str">
        <x:v>Avant mise en ligne</x:v>
      </x:c>
      <x:c r="B4" s="11" t="str">
        <x:v>Coins</x:v>
      </x:c>
      <x:c r="C4" s="11" t="str">
        <x:v>Gestion fiable des parties</x:v>
      </x:c>
      <x:c r="D4" s="11" t="str">
        <x:v>Critique</x:v>
      </x:c>
      <x:c r="E4" s="11" t="str">
        <x:v>Jeux reliés au système central</x:v>
      </x:c>
      <x:c r="F4" s="11" t="str">
        <x:v>Solde cohérent en victoire/défaite/abandon</x:v>
      </x:c>
    </x:row>
    <x:row r="5" ht="15" hidden="0" customHeight="1">
      <x:c r="A5" s="11" t="str">
        <x:v>v1.1+</x:v>
      </x:c>
      <x:c r="B5" s="11" t="str">
        <x:v>Catalogue</x:v>
      </x:c>
      <x:c r="C5" s="11" t="str">
        <x:v>Recherche, filtres, difficulté</x:v>
      </x:c>
      <x:c r="D5" s="11" t="str">
        <x:v>Important</x:v>
      </x:c>
      <x:c r="E5" s="11" t="str">
        <x:v>Catalogue existant</x:v>
      </x:c>
      <x:c r="F5" s="11" t="str">
        <x:v>Découverte des jeux plus rapide</x:v>
      </x:c>
    </x:row>
    <x:row r="6" ht="15" hidden="0" customHeight="1">
      <x:c r="A6" s="11" t="str">
        <x:v>v1.1+</x:v>
      </x:c>
      <x:c r="B6" s="11" t="str">
        <x:v>Stats</x:v>
      </x:c>
      <x:c r="C6" s="11" t="str">
        <x:v>Statistiques jeux/catégories</x:v>
      </x:c>
      <x:c r="D6" s="11" t="str">
        <x:v>Important</x:v>
      </x:c>
      <x:c r="E6" s="11" t="str">
        <x:v>Suivi des parties</x:v>
      </x:c>
      <x:c r="F6" s="11" t="str">
        <x:v>Mesurer engagement et difficulté</x:v>
      </x:c>
    </x:row>
    <x:row r="7" ht="15" hidden="0" customHeight="1">
      <x:c r="A7" s="11" t="str">
        <x:v>v1.1+</x:v>
      </x:c>
      <x:c r="B7" s="11" t="str">
        <x:v>Boutique</x:v>
      </x:c>
      <x:c r="C7" s="11" t="str">
        <x:v>Cosmétiques contre Coins</x:v>
      </x:c>
      <x:c r="D7" s="11" t="str">
        <x:v>Important</x:v>
      </x:c>
      <x:c r="E7" s="11" t="str">
        <x:v>Coins fiables</x:v>
      </x:c>
      <x:c r="F7" s="11" t="str">
        <x:v>Donner une utilité aux Coins</x:v>
      </x:c>
    </x:row>
    <x:row r="8" ht="15" hidden="0" customHeight="1">
      <x:c r="A8" s="11" t="str">
        <x:v>v1.2</x:v>
      </x:c>
      <x:c r="B8" s="11" t="str">
        <x:v>Comptes</x:v>
      </x:c>
      <x:c r="C8" s="11" t="str">
        <x:v>Authentification complète</x:v>
      </x:c>
      <x:c r="D8" s="11" t="str">
        <x:v>Future</x:v>
      </x:c>
      <x:c r="E8" s="11" t="str">
        <x:v>Supabase</x:v>
      </x:c>
      <x:c r="F8" s="11" t="str">
        <x:v>Profils multi-appareils</x:v>
      </x:c>
    </x:row>
    <x:row r="9" ht="15" hidden="0" customHeight="1">
      <x:c r="A9" s="11" t="str">
        <x:v>v1.2</x:v>
      </x:c>
      <x:c r="B9" s="11" t="str">
        <x:v>Monétisation</x:v>
      </x:c>
      <x:c r="C9" s="11" t="str">
        <x:v>Rewarded Ads</x:v>
      </x:c>
      <x:c r="D9" s="11" t="str">
        <x:v>Future</x:v>
      </x:c>
      <x:c r="E9" s="11" t="str">
        <x:v>Comptes/Coins</x:v>
      </x:c>
      <x:c r="F9" s="11" t="str">
        <x:v>Monétisation optionnelle et équilibrée</x:v>
      </x:c>
    </x:row>
    <x:row r="10" ht="15" hidden="0" customHeight="1">
      <x:c r="A10" s="11" t="str">
        <x:v>v1.2</x:v>
      </x:c>
      <x:c r="B10" s="11" t="str">
        <x:v>Monétisation</x:v>
      </x:c>
      <x:c r="C10" s="11" t="str">
        <x:v>PayPal</x:v>
      </x:c>
      <x:c r="D10" s="11" t="str">
        <x:v>Future</x:v>
      </x:c>
      <x:c r="E10" s="11" t="str">
        <x:v>Page soutien</x:v>
      </x:c>
      <x:c r="F10" s="11" t="str">
        <x:v>Don volontaire séparé du gameplay</x:v>
      </x:c>
    </x:row>
    <x:row r="11" ht="15" hidden="0" customHeight="1">
      <x:c r="A11" s="11" t="str">
        <x:v>v1.3</x:v>
      </x:c>
      <x:c r="B11" s="11" t="str">
        <x:v>Admin</x:v>
      </x:c>
      <x:c r="C11" s="11" t="str">
        <x:v>Dashboard administrateur</x:v>
      </x:c>
      <x:c r="D11" s="11" t="str">
        <x:v>Future</x:v>
      </x:c>
      <x:c r="E11" s="11" t="str">
        <x:v>Stats + feedback serveur</x:v>
      </x:c>
      <x:c r="F11" s="11" t="str">
        <x:v>Pilotage global du site</x:v>
      </x:c>
    </x:row>
    <x:row r="12" ht="15" hidden="0" customHeight="1">
      <x:c r="A12" s="11" t="str">
        <x:v>v1.3</x:v>
      </x:c>
      <x:c r="B12" s="11" t="str">
        <x:v>Engagement</x:v>
      </x:c>
      <x:c r="C12" s="11" t="str">
        <x:v>Défis, succès, tournois</x:v>
      </x:c>
      <x:c r="D12" s="11" t="str">
        <x:v>Future</x:v>
      </x:c>
      <x:c r="E12" s="11" t="str">
        <x:v>Comptes + stats</x:v>
      </x:c>
      <x:c r="F12" s="11" t="str">
        <x:v>Améliorer la rétention sans pay-to-win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3b236efe6e8a4f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8" hidden="0" customWidth="1"/>
  </x:cols>
  <x:sheetData>
    <x:row r="1" ht="15" hidden="0" customHeight="1">
      <x:c r="A1" s="10" t="str">
        <x:v>Label</x:v>
      </x:c>
      <x:c r="B1" s="10" t="str">
        <x:v>Signification</x:v>
      </x:c>
      <x:c r="C1" s="10" t="str">
        <x:v>Usage</x:v>
      </x:c>
    </x:row>
    <x:row r="2" ht="15" hidden="0" customHeight="1">
      <x:c r="A2" s="11" t="str">
        <x:v>🔴 Critique</x:v>
      </x:c>
      <x:c r="B2" s="11" t="str">
        <x:v>Bloquant / avant mise en ligne</x:v>
      </x:c>
      <x:c r="C2" s="11" t="str">
        <x:v>Bugs, sécurité, Coins, mobile</x:v>
      </x:c>
    </x:row>
    <x:row r="3" ht="15" hidden="0" customHeight="1">
      <x:c r="A3" s="11" t="str">
        <x:v>🟠 Important</x:v>
      </x:c>
      <x:c r="B3" s="11" t="str">
        <x:v>À traiter rapidement</x:v>
      </x:c>
      <x:c r="C3" s="11" t="str">
        <x:v>UX, stats, catalogue, feedback</x:v>
      </x:c>
    </x:row>
    <x:row r="4" ht="15" hidden="0" customHeight="1">
      <x:c r="A4" s="11" t="str">
        <x:v>🟡 UX/UI</x:v>
      </x:c>
      <x:c r="B4" s="11" t="str">
        <x:v>Expérience utilisateur</x:v>
      </x:c>
      <x:c r="C4" s="11" t="str">
        <x:v>Accueil, menus, boutons, modales</x:v>
      </x:c>
    </x:row>
    <x:row r="5" ht="15" hidden="0" customHeight="1">
      <x:c r="A5" s="11" t="str">
        <x:v>🟢 Amélioration</x:v>
      </x:c>
      <x:c r="B5" s="11" t="str">
        <x:v>Confort / polish</x:v>
      </x:c>
      <x:c r="C5" s="11" t="str">
        <x:v>Notifications, découverte</x:v>
      </x:c>
    </x:row>
    <x:row r="6" ht="15" hidden="0" customHeight="1">
      <x:c r="A6" s="11" t="str">
        <x:v>🔵 Mobile/PWA</x:v>
      </x:c>
      <x:c r="B6" s="11" t="str">
        <x:v>Mobile et installation</x:v>
      </x:c>
      <x:c r="C6" s="11" t="str">
        <x:v>Responsive, tactile, PWA</x:v>
      </x:c>
    </x:row>
    <x:row r="7" ht="15" hidden="0" customHeight="1">
      <x:c r="A7" s="11" t="str">
        <x:v>🟣 Backend</x:v>
      </x:c>
      <x:c r="B7" s="11" t="str">
        <x:v>Serveur / admin</x:v>
      </x:c>
      <x:c r="C7" s="11" t="str">
        <x:v>Supabase, authentification, dashboard</x:v>
      </x:c>
    </x:row>
    <x:row r="8" ht="15" hidden="0" customHeight="1">
      <x:c r="A8" s="11" t="str">
        <x:v>🪙 Coins/Économie</x:v>
      </x:c>
      <x:c r="B8" s="11" t="str">
        <x:v>Monnaie et équilibre</x:v>
      </x:c>
      <x:c r="C8" s="11" t="str">
        <x:v>Parties, boutique, pubs</x:v>
      </x:c>
    </x:row>
    <x:row r="9" ht="15" hidden="0" customHeight="1">
      <x:c r="A9" s="11" t="str">
        <x:v>🎮 Jeux</x:v>
      </x:c>
      <x:c r="B9" s="11" t="str">
        <x:v>Fonctionnement des jeux</x:v>
      </x:c>
      <x:c r="C9" s="11" t="str">
        <x:v>Menus, résultats, leaderboard</x:v>
      </x:c>
    </x:row>
    <x:row r="10" ht="15" hidden="0" customHeight="1">
      <x:c r="A10" s="11" t="str">
        <x:v>🔮 Future</x:v>
      </x:c>
      <x:c r="B10" s="11" t="str">
        <x:v>Roadmap long terme</x:v>
      </x:c>
      <x:c r="C10" s="11" t="str">
        <x:v>Défis, tournois, monétisation avancée</x:v>
      </x:c>
    </x:row>
    <x:row r="11"/>
    <x:row r="12">
      <x:c r="A12" s="33" t="str">
        <x:v>Règle produit : à chaque nouvelle fonctionnalité, se demander « Est-ce que cela rend réellement Francis Arcade plus agréable pour le joueur, ou est-ce que cela ajoute simplement de la complexité ? »</x:v>
      </x:c>
      <x:c r="B12" s="33"/>
      <x:c r="C12" s="33"/>
    </x:row>
    <x:row r="13">
      <x:c r="A13" s="33"/>
      <x:c r="B13" s="33"/>
      <x:c r="C13" s="33"/>
    </x:row>
    <x:row r="14">
      <x:c r="A14" s="33"/>
      <x:c r="B14" s="33"/>
      <x:c r="C14" s="33"/>
    </x:row>
    <x:row r="15">
      <x:c r="A15" s="33"/>
      <x:c r="B15" s="33"/>
      <x:c r="C15" s="33"/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2:C15"/>
  </x:mergeCells>
  <x:pageMargins left="0.7" right="0.7" top="0.75" bottom="0.75" header="0.3" footer="0.3"/>
</x:worksheet>
</file>